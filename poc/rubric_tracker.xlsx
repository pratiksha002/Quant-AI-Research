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Scoring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<sst xmlns="http://schemas.openxmlformats.org/spreadsheetml/2006/main" count="123" uniqueCount="64">
  <si>
    <t xml:space="preserve">Ingestion Quality POC — Scoring Legend</t>
  </si>
  <si>
    <t xml:space="preserve">NOTE: Models below are GenWiki's cloud providers (Gemini free tier / OpenRouter free tier) — GenWiki v1.0.9 has no supported local option. OpenRouter has no embeddings support in GenWiki (keyword-search fallback only); Gemini supports full semantic search. Factor that into Link Quality scoring.</t>
  </si>
  <si>
    <t xml:space="preserve">How to use this workbook:</t>
  </si>
  <si>
    <t xml:space="preserve">1. Log each of your ~15-20 test documents once per model (2 rows per doc if testing 2 models).</t>
  </si>
  <si>
    <t xml:space="preserve">2. Fill in only the yellow cells in the 'Scoring' tab after manual review against source docs.</t>
  </si>
  <si>
    <t xml:space="preserve">3. Check the 'Summary' tab for automatic per-model averages once both models are scored.</t>
  </si>
  <si>
    <t xml:space="preserve">Scoring scale (1-5) for: Entity Extraction, Merge Correctness, Deduplication, Link Quality</t>
  </si>
  <si>
    <t xml:space="preserve">5 = Excellent, no issues found</t>
  </si>
  <si>
    <t xml:space="preserve">4 = Good, minor/cosmetic issues only</t>
  </si>
  <si>
    <t xml:space="preserve">3 = Acceptable, some real issues but usable</t>
  </si>
  <si>
    <t xml:space="preserve">2 = Weak, significant issues, would need fixing before trusting this</t>
  </si>
  <si>
    <t xml:space="preserve">1 = Failing, unusable output for this document</t>
  </si>
  <si>
    <t xml:space="preserve">Hallucination Count: literal count of invented facts not traceable to the source doc. Target: 0.</t>
  </si>
  <si>
    <t xml:space="preserve">Failure Handling: Pass / Fail / N-A (only applies to the scanned-PDF and messy-doc test cases)</t>
  </si>
  <si>
    <t xml:space="preserve">Latency (sec): wall-clock time from drop-in-inbox to wiki page(s) appearing</t>
  </si>
  <si>
    <t xml:space="preserve">Go/No-Go guide:</t>
  </si>
  <si>
    <t xml:space="preserve">  Proceed to full Phase 1 bulk load if: avg scores &gt;= 4 on the 4 scored criteria, 0 hallucinations, failure handling passes.</t>
  </si>
  <si>
    <t xml:space="preserve">  Iterate before scaling if: merge/dedup averages 2-3 — likely a prompt-tuning or bigger-model problem.</t>
  </si>
  <si>
    <t xml:space="preserve">  Stop and reconsider if: any hallucinations found, or failure handling silently corrupts the graph.</t>
  </si>
  <si>
    <t xml:space="preserve">Doc ID</t>
  </si>
  <si>
    <t xml:space="preserve">Doc Name</t>
  </si>
  <si>
    <t xml:space="preserve">Category</t>
  </si>
  <si>
    <t xml:space="preserve">Model</t>
  </si>
  <si>
    <t xml:space="preserve">Entity Extraction (1-5)</t>
  </si>
  <si>
    <t xml:space="preserve">Merge Correctness (1-5)</t>
  </si>
  <si>
    <t xml:space="preserve">Deduplication (1-5)</t>
  </si>
  <si>
    <t xml:space="preserve">Hallucination Count</t>
  </si>
  <si>
    <t xml:space="preserve">Link Quality (1-5)</t>
  </si>
  <si>
    <t xml:space="preserve">Failure Handling (Pass/Fail/N-A)</t>
  </si>
  <si>
    <t xml:space="preserve">Latency (sec)</t>
  </si>
  <si>
    <t xml:space="preserve">Overall Score (auto)</t>
  </si>
  <si>
    <t xml:space="preserve">Notes</t>
  </si>
  <si>
    <t xml:space="preserve">D01</t>
  </si>
  <si>
    <t xml:space="preserve">e.g. Attention Is All You Need.pdf</t>
  </si>
  <si>
    <t xml:space="preserve">Straightforward</t>
  </si>
  <si>
    <t xml:space="preserve">Gemini (free tier)</t>
  </si>
  <si>
    <t xml:space="preserve">OpenRouter (free tier)</t>
  </si>
  <si>
    <t xml:space="preserve">D02</t>
  </si>
  <si>
    <t xml:space="preserve">D03</t>
  </si>
  <si>
    <t xml:space="preserve">D04</t>
  </si>
  <si>
    <t xml:space="preserve">D05</t>
  </si>
  <si>
    <t xml:space="preserve">Overlapping topic</t>
  </si>
  <si>
    <t xml:space="preserve">D06</t>
  </si>
  <si>
    <t xml:space="preserve">D07</t>
  </si>
  <si>
    <t xml:space="preserve">D08</t>
  </si>
  <si>
    <t xml:space="preserve">Same concept/diff wording</t>
  </si>
  <si>
    <t xml:space="preserve">D09</t>
  </si>
  <si>
    <t xml:space="preserve">D10</t>
  </si>
  <si>
    <t xml:space="preserve">Long document</t>
  </si>
  <si>
    <t xml:space="preserve">D11</t>
  </si>
  <si>
    <t xml:space="preserve">D12</t>
  </si>
  <si>
    <t xml:space="preserve">Scanned/OCR</t>
  </si>
  <si>
    <t xml:space="preserve">D13</t>
  </si>
  <si>
    <t xml:space="preserve">Messy/poorly formatted</t>
  </si>
  <si>
    <t xml:space="preserve">Per-Model Averages (auto-calculated from Scoring tab)</t>
  </si>
  <si>
    <t xml:space="preserve">Metric</t>
  </si>
  <si>
    <t xml:space="preserve">Entity Extraction (avg)</t>
  </si>
  <si>
    <t xml:space="preserve">Merge Correctness (avg)</t>
  </si>
  <si>
    <t xml:space="preserve">Deduplication (avg)</t>
  </si>
  <si>
    <t xml:space="preserve">Hallucination Count (total)</t>
  </si>
  <si>
    <t xml:space="preserve">Link Quality (avg)</t>
  </si>
  <si>
    <t xml:space="preserve">Latency, sec (avg)</t>
  </si>
  <si>
    <t xml:space="preserve">Overall Score (avg)</t>
  </si>
  <si>
    <t xml:space="preserve">Go/No-Go Recommendation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</si>
</sst>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FE7DA"/>
        <bgColor rgb="FFFFF7E6"/>
      </patternFill>
    </fill>
    <fill>
      <patternFill patternType="solid">
        <fgColor rgb="FFFFF7E6"/>
        <bgColor rgb="FFEFE7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9"/>
      </left>
      <right style="thin">
        <color rgb="FFD9D2C9"/>
      </right>
      <top style="thin">
        <color rgb="FFD9D2C9"/>
      </top>
      <bottom style="thin">
        <color rgb="FFD9D2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7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9"/>
      <rgbColor rgb="FF808080"/>
      <rgbColor rgb="FF9999FF"/>
      <rgbColor rgb="FF993366"/>
      <rgbColor rgb="FFEFE7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30" hidden="false" customHeight="true" outlineLevel="0" collapsed="false">
      <c r="A3" s="4" t="s">
        <v>1</v>
      </c>
    </row>
    <row r="4" customFormat="false" ht="15" hidden="false" customHeight="true" outlineLevel="0" collapsed="false">
      <c r="A4" s="5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5" t="s">
        <v>4</v>
      </c>
    </row>
    <row r="7" customFormat="false" ht="15" hidden="false" customHeight="true" outlineLevel="0" collapsed="false">
      <c r="A7" s="5" t="s">
        <v>5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5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/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/>
    </row>
    <row r="20" customFormat="false" ht="15" hidden="false" customHeight="true" outlineLevel="0" collapsed="false">
      <c r="A20" s="5" t="s">
        <v>15</v>
      </c>
    </row>
    <row r="21" customFormat="false" ht="15" hidden="false" customHeight="true" outlineLevel="0" collapsed="false">
      <c r="A21" s="3" t="s">
        <v>16</v>
      </c>
    </row>
    <row r="22" customFormat="false" ht="15" hidden="false" customHeight="tru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6" min="5" style="1" width="16"/>
    <col collapsed="false" customWidth="true" hidden="false" outlineLevel="0" max="8" min="7" style="1" width="15"/>
    <col collapsed="false" customWidth="true" hidden="false" outlineLevel="0" max="9" min="9" style="1" width="13"/>
    <col collapsed="false" customWidth="true" hidden="false" outlineLevel="0" max="10" min="10" style="1" width="20"/>
    <col collapsed="false" customWidth="true" hidden="false" outlineLevel="0" max="11" min="11" style="1" width="12"/>
    <col collapsed="false" customWidth="true" hidden="false" outlineLevel="0" max="12" min="12" style="1" width="14"/>
    <col collapsed="false" customWidth="true" hidden="false" outlineLevel="0" max="13" min="13" style="1" width="30"/>
  </cols>
  <sheetData>
    <row r="1" customFormat="false" ht="33.75" hidden="false" customHeight="tru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</row>
    <row r="2" customFormat="false" ht="23.25" hidden="false" customHeight="true" outlineLevel="0" collapsed="false">
      <c r="A2" s="7" t="s">
        <v>32</v>
      </c>
      <c r="B2" s="8" t="s">
        <v>33</v>
      </c>
      <c r="C2" s="7" t="s">
        <v>34</v>
      </c>
      <c r="D2" s="7" t="s">
        <v>35</v>
      </c>
      <c r="E2" s="8"/>
      <c r="F2" s="8"/>
      <c r="G2" s="8"/>
      <c r="H2" s="8"/>
      <c r="I2" s="8"/>
      <c r="J2" s="8"/>
      <c r="K2" s="8"/>
      <c r="L2" s="9" t="str">
        <f aca="false">IFERROR(AVERAGE(E2,F2,G2,I2),"")</f>
        <v/>
      </c>
      <c r="M2" s="8"/>
    </row>
    <row r="3" customFormat="false" ht="15" hidden="false" customHeight="true" outlineLevel="0" collapsed="false">
      <c r="A3" s="7" t="s">
        <v>32</v>
      </c>
      <c r="B3" s="8"/>
      <c r="C3" s="7" t="s">
        <v>34</v>
      </c>
      <c r="D3" s="7" t="s">
        <v>36</v>
      </c>
      <c r="E3" s="8"/>
      <c r="F3" s="8"/>
      <c r="G3" s="8"/>
      <c r="H3" s="8"/>
      <c r="I3" s="8"/>
      <c r="J3" s="8"/>
      <c r="K3" s="8"/>
      <c r="L3" s="9" t="str">
        <f aca="false">IFERROR(AVERAGE(E3,F3,G3,I3),"")</f>
        <v/>
      </c>
      <c r="M3" s="8"/>
    </row>
    <row r="4" customFormat="false" ht="15" hidden="false" customHeight="true" outlineLevel="0" collapsed="false">
      <c r="A4" s="7" t="s">
        <v>37</v>
      </c>
      <c r="B4" s="8"/>
      <c r="C4" s="7" t="s">
        <v>34</v>
      </c>
      <c r="D4" s="7" t="s">
        <v>35</v>
      </c>
      <c r="E4" s="8"/>
      <c r="F4" s="8"/>
      <c r="G4" s="8"/>
      <c r="H4" s="8"/>
      <c r="I4" s="8"/>
      <c r="J4" s="8"/>
      <c r="K4" s="8"/>
      <c r="L4" s="9" t="str">
        <f aca="false">IFERROR(AVERAGE(E4,F4,G4,I4),"")</f>
        <v/>
      </c>
      <c r="M4" s="8"/>
    </row>
    <row r="5" customFormat="false" ht="15" hidden="false" customHeight="true" outlineLevel="0" collapsed="false">
      <c r="A5" s="7" t="s">
        <v>37</v>
      </c>
      <c r="B5" s="8"/>
      <c r="C5" s="7" t="s">
        <v>34</v>
      </c>
      <c r="D5" s="7" t="s">
        <v>36</v>
      </c>
      <c r="E5" s="8"/>
      <c r="F5" s="8"/>
      <c r="G5" s="8"/>
      <c r="H5" s="8"/>
      <c r="I5" s="8"/>
      <c r="J5" s="8"/>
      <c r="K5" s="8"/>
      <c r="L5" s="9" t="str">
        <f aca="false">IFERROR(AVERAGE(E5,F5,G5,I5),"")</f>
        <v/>
      </c>
      <c r="M5" s="8"/>
    </row>
    <row r="6" customFormat="false" ht="15" hidden="false" customHeight="true" outlineLevel="0" collapsed="false">
      <c r="A6" s="7" t="s">
        <v>38</v>
      </c>
      <c r="B6" s="8"/>
      <c r="C6" s="7" t="s">
        <v>34</v>
      </c>
      <c r="D6" s="7" t="s">
        <v>35</v>
      </c>
      <c r="E6" s="8"/>
      <c r="F6" s="8"/>
      <c r="G6" s="8"/>
      <c r="H6" s="8"/>
      <c r="I6" s="8"/>
      <c r="J6" s="8"/>
      <c r="K6" s="8"/>
      <c r="L6" s="9" t="str">
        <f aca="false">IFERROR(AVERAGE(E6,F6,G6,I6),"")</f>
        <v/>
      </c>
      <c r="M6" s="8"/>
    </row>
    <row r="7" customFormat="false" ht="15" hidden="false" customHeight="true" outlineLevel="0" collapsed="false">
      <c r="A7" s="7" t="s">
        <v>38</v>
      </c>
      <c r="B7" s="8"/>
      <c r="C7" s="7" t="s">
        <v>34</v>
      </c>
      <c r="D7" s="7" t="s">
        <v>36</v>
      </c>
      <c r="E7" s="8"/>
      <c r="F7" s="8"/>
      <c r="G7" s="8"/>
      <c r="H7" s="8"/>
      <c r="I7" s="8"/>
      <c r="J7" s="8"/>
      <c r="K7" s="8"/>
      <c r="L7" s="9" t="str">
        <f aca="false">IFERROR(AVERAGE(E7,F7,G7,I7),"")</f>
        <v/>
      </c>
      <c r="M7" s="8"/>
    </row>
    <row r="8" customFormat="false" ht="15" hidden="false" customHeight="true" outlineLevel="0" collapsed="false">
      <c r="A8" s="7" t="s">
        <v>39</v>
      </c>
      <c r="B8" s="8"/>
      <c r="C8" s="7" t="s">
        <v>34</v>
      </c>
      <c r="D8" s="7" t="s">
        <v>35</v>
      </c>
      <c r="E8" s="8"/>
      <c r="F8" s="8"/>
      <c r="G8" s="8"/>
      <c r="H8" s="8"/>
      <c r="I8" s="8"/>
      <c r="J8" s="8"/>
      <c r="K8" s="8"/>
      <c r="L8" s="9" t="str">
        <f aca="false">IFERROR(AVERAGE(E8,F8,G8,I8),"")</f>
        <v/>
      </c>
      <c r="M8" s="8"/>
    </row>
    <row r="9" customFormat="false" ht="15" hidden="false" customHeight="true" outlineLevel="0" collapsed="false">
      <c r="A9" s="7" t="s">
        <v>39</v>
      </c>
      <c r="B9" s="8"/>
      <c r="C9" s="7" t="s">
        <v>34</v>
      </c>
      <c r="D9" s="7" t="s">
        <v>36</v>
      </c>
      <c r="E9" s="8"/>
      <c r="F9" s="8"/>
      <c r="G9" s="8"/>
      <c r="H9" s="8"/>
      <c r="I9" s="8"/>
      <c r="J9" s="8"/>
      <c r="K9" s="8"/>
      <c r="L9" s="9" t="str">
        <f aca="false">IFERROR(AVERAGE(E9,F9,G9,I9),"")</f>
        <v/>
      </c>
      <c r="M9" s="8"/>
    </row>
    <row r="10" customFormat="false" ht="15" hidden="false" customHeight="true" outlineLevel="0" collapsed="false">
      <c r="A10" s="7" t="s">
        <v>40</v>
      </c>
      <c r="B10" s="8"/>
      <c r="C10" s="7" t="s">
        <v>41</v>
      </c>
      <c r="D10" s="7" t="s">
        <v>35</v>
      </c>
      <c r="E10" s="8"/>
      <c r="F10" s="8"/>
      <c r="G10" s="8"/>
      <c r="H10" s="8"/>
      <c r="I10" s="8"/>
      <c r="J10" s="8"/>
      <c r="K10" s="8"/>
      <c r="L10" s="9" t="str">
        <f aca="false">IFERROR(AVERAGE(E10,F10,G10,I10),"")</f>
        <v/>
      </c>
      <c r="M10" s="8"/>
    </row>
    <row r="11" customFormat="false" ht="15" hidden="false" customHeight="true" outlineLevel="0" collapsed="false">
      <c r="A11" s="7" t="s">
        <v>40</v>
      </c>
      <c r="B11" s="8"/>
      <c r="C11" s="7" t="s">
        <v>41</v>
      </c>
      <c r="D11" s="7" t="s">
        <v>36</v>
      </c>
      <c r="E11" s="8"/>
      <c r="F11" s="8"/>
      <c r="G11" s="8"/>
      <c r="H11" s="8"/>
      <c r="I11" s="8"/>
      <c r="J11" s="8"/>
      <c r="K11" s="8"/>
      <c r="L11" s="9" t="str">
        <f aca="false">IFERROR(AVERAGE(E11,F11,G11,I11),"")</f>
        <v/>
      </c>
      <c r="M11" s="8"/>
    </row>
    <row r="12" customFormat="false" ht="15" hidden="false" customHeight="true" outlineLevel="0" collapsed="false">
      <c r="A12" s="7" t="s">
        <v>42</v>
      </c>
      <c r="B12" s="8"/>
      <c r="C12" s="7" t="s">
        <v>41</v>
      </c>
      <c r="D12" s="7" t="s">
        <v>35</v>
      </c>
      <c r="E12" s="8"/>
      <c r="F12" s="8"/>
      <c r="G12" s="8"/>
      <c r="H12" s="8"/>
      <c r="I12" s="8"/>
      <c r="J12" s="8"/>
      <c r="K12" s="8"/>
      <c r="L12" s="9" t="str">
        <f aca="false">IFERROR(AVERAGE(E12,F12,G12,I12),"")</f>
        <v/>
      </c>
      <c r="M12" s="8"/>
    </row>
    <row r="13" customFormat="false" ht="15" hidden="false" customHeight="true" outlineLevel="0" collapsed="false">
      <c r="A13" s="7" t="s">
        <v>42</v>
      </c>
      <c r="B13" s="8"/>
      <c r="C13" s="7" t="s">
        <v>41</v>
      </c>
      <c r="D13" s="7" t="s">
        <v>36</v>
      </c>
      <c r="E13" s="8"/>
      <c r="F13" s="8"/>
      <c r="G13" s="8"/>
      <c r="H13" s="8"/>
      <c r="I13" s="8"/>
      <c r="J13" s="8"/>
      <c r="K13" s="8"/>
      <c r="L13" s="9" t="str">
        <f aca="false">IFERROR(AVERAGE(E13,F13,G13,I13),"")</f>
        <v/>
      </c>
      <c r="M13" s="8"/>
    </row>
    <row r="14" customFormat="false" ht="15" hidden="false" customHeight="true" outlineLevel="0" collapsed="false">
      <c r="A14" s="7" t="s">
        <v>43</v>
      </c>
      <c r="B14" s="8"/>
      <c r="C14" s="7" t="s">
        <v>41</v>
      </c>
      <c r="D14" s="7" t="s">
        <v>35</v>
      </c>
      <c r="E14" s="8"/>
      <c r="F14" s="8"/>
      <c r="G14" s="8"/>
      <c r="H14" s="8"/>
      <c r="I14" s="8"/>
      <c r="J14" s="8"/>
      <c r="K14" s="8"/>
      <c r="L14" s="9" t="str">
        <f aca="false">IFERROR(AVERAGE(E14,F14,G14,I14),"")</f>
        <v/>
      </c>
      <c r="M14" s="8"/>
    </row>
    <row r="15" customFormat="false" ht="15" hidden="false" customHeight="true" outlineLevel="0" collapsed="false">
      <c r="A15" s="7" t="s">
        <v>43</v>
      </c>
      <c r="B15" s="8"/>
      <c r="C15" s="7" t="s">
        <v>41</v>
      </c>
      <c r="D15" s="7" t="s">
        <v>36</v>
      </c>
      <c r="E15" s="8"/>
      <c r="F15" s="8"/>
      <c r="G15" s="8"/>
      <c r="H15" s="8"/>
      <c r="I15" s="8"/>
      <c r="J15" s="8"/>
      <c r="K15" s="8"/>
      <c r="L15" s="9" t="str">
        <f aca="false">IFERROR(AVERAGE(E15,F15,G15,I15),"")</f>
        <v/>
      </c>
      <c r="M15" s="8"/>
    </row>
    <row r="16" customFormat="false" ht="23.25" hidden="false" customHeight="true" outlineLevel="0" collapsed="false">
      <c r="A16" s="7" t="s">
        <v>44</v>
      </c>
      <c r="B16" s="8"/>
      <c r="C16" s="7" t="s">
        <v>45</v>
      </c>
      <c r="D16" s="7" t="s">
        <v>35</v>
      </c>
      <c r="E16" s="8"/>
      <c r="F16" s="8"/>
      <c r="G16" s="8"/>
      <c r="H16" s="8"/>
      <c r="I16" s="8"/>
      <c r="J16" s="8"/>
      <c r="K16" s="8"/>
      <c r="L16" s="9" t="str">
        <f aca="false">IFERROR(AVERAGE(E16,F16,G16,I16),"")</f>
        <v/>
      </c>
      <c r="M16" s="8"/>
    </row>
    <row r="17" customFormat="false" ht="23.25" hidden="false" customHeight="true" outlineLevel="0" collapsed="false">
      <c r="A17" s="7" t="s">
        <v>44</v>
      </c>
      <c r="B17" s="8"/>
      <c r="C17" s="7" t="s">
        <v>45</v>
      </c>
      <c r="D17" s="7" t="s">
        <v>36</v>
      </c>
      <c r="E17" s="8"/>
      <c r="F17" s="8"/>
      <c r="G17" s="8"/>
      <c r="H17" s="8"/>
      <c r="I17" s="8"/>
      <c r="J17" s="8"/>
      <c r="K17" s="8"/>
      <c r="L17" s="9" t="str">
        <f aca="false">IFERROR(AVERAGE(E17,F17,G17,I17),"")</f>
        <v/>
      </c>
      <c r="M17" s="8"/>
    </row>
    <row r="18" customFormat="false" ht="23.25" hidden="false" customHeight="true" outlineLevel="0" collapsed="false">
      <c r="A18" s="7" t="s">
        <v>46</v>
      </c>
      <c r="B18" s="8"/>
      <c r="C18" s="7" t="s">
        <v>45</v>
      </c>
      <c r="D18" s="7" t="s">
        <v>35</v>
      </c>
      <c r="E18" s="8"/>
      <c r="F18" s="8"/>
      <c r="G18" s="8"/>
      <c r="H18" s="8"/>
      <c r="I18" s="8"/>
      <c r="J18" s="8"/>
      <c r="K18" s="8"/>
      <c r="L18" s="9" t="str">
        <f aca="false">IFERROR(AVERAGE(E18,F18,G18,I18),"")</f>
        <v/>
      </c>
      <c r="M18" s="8"/>
    </row>
    <row r="19" customFormat="false" ht="23.25" hidden="false" customHeight="true" outlineLevel="0" collapsed="false">
      <c r="A19" s="7" t="s">
        <v>46</v>
      </c>
      <c r="B19" s="8"/>
      <c r="C19" s="7" t="s">
        <v>45</v>
      </c>
      <c r="D19" s="7" t="s">
        <v>36</v>
      </c>
      <c r="E19" s="8"/>
      <c r="F19" s="8"/>
      <c r="G19" s="8"/>
      <c r="H19" s="8"/>
      <c r="I19" s="8"/>
      <c r="J19" s="8"/>
      <c r="K19" s="8"/>
      <c r="L19" s="9" t="str">
        <f aca="false">IFERROR(AVERAGE(E19,F19,G19,I19),"")</f>
        <v/>
      </c>
      <c r="M19" s="8"/>
    </row>
    <row r="20" customFormat="false" ht="15" hidden="false" customHeight="true" outlineLevel="0" collapsed="false">
      <c r="A20" s="7" t="s">
        <v>47</v>
      </c>
      <c r="B20" s="8"/>
      <c r="C20" s="7" t="s">
        <v>48</v>
      </c>
      <c r="D20" s="7" t="s">
        <v>35</v>
      </c>
      <c r="E20" s="8"/>
      <c r="F20" s="8"/>
      <c r="G20" s="8"/>
      <c r="H20" s="8"/>
      <c r="I20" s="8"/>
      <c r="J20" s="8"/>
      <c r="K20" s="8"/>
      <c r="L20" s="9" t="str">
        <f aca="false">IFERROR(AVERAGE(E20,F20,G20,I20),"")</f>
        <v/>
      </c>
      <c r="M20" s="8"/>
    </row>
    <row r="21" customFormat="false" ht="15" hidden="false" customHeight="true" outlineLevel="0" collapsed="false">
      <c r="A21" s="7" t="s">
        <v>47</v>
      </c>
      <c r="B21" s="8"/>
      <c r="C21" s="7" t="s">
        <v>48</v>
      </c>
      <c r="D21" s="7" t="s">
        <v>36</v>
      </c>
      <c r="E21" s="8"/>
      <c r="F21" s="8"/>
      <c r="G21" s="8"/>
      <c r="H21" s="8"/>
      <c r="I21" s="8"/>
      <c r="J21" s="8"/>
      <c r="K21" s="8"/>
      <c r="L21" s="9" t="str">
        <f aca="false">IFERROR(AVERAGE(E21,F21,G21,I21),"")</f>
        <v/>
      </c>
      <c r="M21" s="8"/>
    </row>
    <row r="22" customFormat="false" ht="15" hidden="false" customHeight="true" outlineLevel="0" collapsed="false">
      <c r="A22" s="7" t="s">
        <v>49</v>
      </c>
      <c r="B22" s="8"/>
      <c r="C22" s="7" t="s">
        <v>48</v>
      </c>
      <c r="D22" s="7" t="s">
        <v>35</v>
      </c>
      <c r="E22" s="8"/>
      <c r="F22" s="8"/>
      <c r="G22" s="8"/>
      <c r="H22" s="8"/>
      <c r="I22" s="8"/>
      <c r="J22" s="8"/>
      <c r="K22" s="8"/>
      <c r="L22" s="9" t="str">
        <f aca="false">IFERROR(AVERAGE(E22,F22,G22,I22),"")</f>
        <v/>
      </c>
      <c r="M22" s="8"/>
    </row>
    <row r="23" customFormat="false" ht="15" hidden="false" customHeight="true" outlineLevel="0" collapsed="false">
      <c r="A23" s="7" t="s">
        <v>49</v>
      </c>
      <c r="B23" s="8"/>
      <c r="C23" s="7" t="s">
        <v>48</v>
      </c>
      <c r="D23" s="7" t="s">
        <v>36</v>
      </c>
      <c r="E23" s="8"/>
      <c r="F23" s="8"/>
      <c r="G23" s="8"/>
      <c r="H23" s="8"/>
      <c r="I23" s="8"/>
      <c r="J23" s="8"/>
      <c r="K23" s="8"/>
      <c r="L23" s="9" t="str">
        <f aca="false">IFERROR(AVERAGE(E23,F23,G23,I23),"")</f>
        <v/>
      </c>
      <c r="M23" s="8"/>
    </row>
    <row r="24" customFormat="false" ht="15" hidden="false" customHeight="true" outlineLevel="0" collapsed="false">
      <c r="A24" s="7" t="s">
        <v>50</v>
      </c>
      <c r="B24" s="8"/>
      <c r="C24" s="7" t="s">
        <v>51</v>
      </c>
      <c r="D24" s="7" t="s">
        <v>35</v>
      </c>
      <c r="E24" s="8"/>
      <c r="F24" s="8"/>
      <c r="G24" s="8"/>
      <c r="H24" s="8"/>
      <c r="I24" s="8"/>
      <c r="J24" s="8"/>
      <c r="K24" s="8"/>
      <c r="L24" s="9" t="str">
        <f aca="false">IFERROR(AVERAGE(E24,F24,G24,I24),"")</f>
        <v/>
      </c>
      <c r="M24" s="8"/>
    </row>
    <row r="25" customFormat="false" ht="15" hidden="false" customHeight="true" outlineLevel="0" collapsed="false">
      <c r="A25" s="7" t="s">
        <v>50</v>
      </c>
      <c r="B25" s="8"/>
      <c r="C25" s="7" t="s">
        <v>51</v>
      </c>
      <c r="D25" s="7" t="s">
        <v>36</v>
      </c>
      <c r="E25" s="8"/>
      <c r="F25" s="8"/>
      <c r="G25" s="8"/>
      <c r="H25" s="8"/>
      <c r="I25" s="8"/>
      <c r="J25" s="8"/>
      <c r="K25" s="8"/>
      <c r="L25" s="9" t="str">
        <f aca="false">IFERROR(AVERAGE(E25,F25,G25,I25),"")</f>
        <v/>
      </c>
      <c r="M25" s="8"/>
    </row>
    <row r="26" customFormat="false" ht="15" hidden="false" customHeight="true" outlineLevel="0" collapsed="false">
      <c r="A26" s="7" t="s">
        <v>52</v>
      </c>
      <c r="B26" s="8"/>
      <c r="C26" s="7" t="s">
        <v>53</v>
      </c>
      <c r="D26" s="7" t="s">
        <v>35</v>
      </c>
      <c r="E26" s="8"/>
      <c r="F26" s="8"/>
      <c r="G26" s="8"/>
      <c r="H26" s="8"/>
      <c r="I26" s="8"/>
      <c r="J26" s="8"/>
      <c r="K26" s="8"/>
      <c r="L26" s="9" t="str">
        <f aca="false">IFERROR(AVERAGE(E26,F26,G26,I26),"")</f>
        <v/>
      </c>
      <c r="M26" s="8"/>
    </row>
    <row r="27" customFormat="false" ht="15" hidden="false" customHeight="true" outlineLevel="0" collapsed="false">
      <c r="A27" s="7" t="s">
        <v>52</v>
      </c>
      <c r="B27" s="8"/>
      <c r="C27" s="7" t="s">
        <v>53</v>
      </c>
      <c r="D27" s="7" t="s">
        <v>36</v>
      </c>
      <c r="E27" s="8"/>
      <c r="F27" s="8"/>
      <c r="G27" s="8"/>
      <c r="H27" s="8"/>
      <c r="I27" s="8"/>
      <c r="J27" s="8"/>
      <c r="K27" s="8"/>
      <c r="L27" s="9" t="str">
        <f aca="false">IFERROR(AVERAGE(E27,F27,G27,I27),"")</f>
        <v/>
      </c>
      <c r="M27" s="8"/>
    </row>
  </sheetData>
  <dataValidations count="4">
    <dataValidation allowBlank="false" error="Enter a whole number 1-5" errorStyle="stop" errorTitle="Invalid score" operator="between" showDropDown="false" showErrorMessage="true" showInputMessage="false" sqref="E2:G27 I2:I27" type="whole">
      <formula1>1</formula1>
      <formula2>5</formula2>
    </dataValidation>
    <dataValidation allowBlank="false" error="Enter 0 or a positive whole number" errorStyle="stop" errorTitle="Invalid count" operator="greaterThanOrEqual" showDropDown="false" showErrorMessage="true" showInputMessage="false" sqref="H2:H27" type="whole">
      <formula1>0</formula1>
      <formula2>0</formula2>
    </dataValidation>
    <dataValidation allowBlank="false" errorStyle="stop" operator="between" showDropDown="false" showErrorMessage="true" showInputMessage="false" sqref="J2:J27" type="list">
      <formula1>"Pass,Fail,N-A"</formula1>
      <formula2>0</formula2>
    </dataValidation>
    <dataValidation allowBlank="false" errorStyle="stop" operator="between" showDropDown="false" showErrorMessage="true" showInputMessage="false" sqref="D2:D27" type="list">
      <formula1>"Gemini (free tier),OpenRouter (free tier)"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8"/>
  </cols>
  <sheetData>
    <row r="1" customFormat="false" ht="17.25" hidden="false" customHeight="true" outlineLevel="0" collapsed="false">
      <c r="A1" s="2" t="s">
        <v>54</v>
      </c>
    </row>
    <row r="3" customFormat="false" ht="15" hidden="false" customHeight="true" outlineLevel="0" collapsed="false">
      <c r="A3" s="6" t="s">
        <v>55</v>
      </c>
      <c r="B3" s="6" t="s">
        <v>35</v>
      </c>
      <c r="C3" s="6" t="s">
        <v>36</v>
      </c>
    </row>
    <row r="4" customFormat="false" ht="15" hidden="false" customHeight="true" outlineLevel="0" collapsed="false">
      <c r="A4" s="9" t="s">
        <v>56</v>
      </c>
      <c r="B4" s="10" t="str">
        <f aca="false">IFERROR(AVERAGEIFS(Scoring!E2:E27,Scoring!$D$2:$D$27,$B$3),"")</f>
        <v/>
      </c>
      <c r="C4" s="10" t="str">
        <f aca="false">IFERROR(AVERAGEIFS(Scoring!E2:E27,Scoring!$D$2:$D$27,$C$3),"")</f>
        <v/>
      </c>
    </row>
    <row r="5" customFormat="false" ht="15" hidden="false" customHeight="true" outlineLevel="0" collapsed="false">
      <c r="A5" s="9" t="s">
        <v>57</v>
      </c>
      <c r="B5" s="10" t="str">
        <f aca="false">IFERROR(AVERAGEIFS(Scoring!F2:F27,Scoring!$D$2:$D$27,$B$3),"")</f>
        <v/>
      </c>
      <c r="C5" s="10" t="str">
        <f aca="false">IFERROR(AVERAGEIFS(Scoring!F2:F27,Scoring!$D$2:$D$27,$C$3),"")</f>
        <v/>
      </c>
    </row>
    <row r="6" customFormat="false" ht="15" hidden="false" customHeight="true" outlineLevel="0" collapsed="false">
      <c r="A6" s="9" t="s">
        <v>58</v>
      </c>
      <c r="B6" s="10" t="str">
        <f aca="false">IFERROR(AVERAGEIFS(Scoring!G2:G27,Scoring!$D$2:$D$27,$B$3),"")</f>
        <v/>
      </c>
      <c r="C6" s="10" t="str">
        <f aca="false">IFERROR(AVERAGEIFS(Scoring!G2:G27,Scoring!$D$2:$D$27,$C$3),"")</f>
        <v/>
      </c>
    </row>
    <row r="7" customFormat="false" ht="15" hidden="false" customHeight="true" outlineLevel="0" collapsed="false">
      <c r="A7" s="9" t="s">
        <v>59</v>
      </c>
      <c r="B7" s="10" t="n">
        <f aca="false">SUMIFS(Scoring!H2:H27,Scoring!$D$2:$D$27,$B$3)</f>
        <v>0</v>
      </c>
      <c r="C7" s="10" t="n">
        <f aca="false">SUMIFS(Scoring!H2:H27,Scoring!$D$2:$D$27,$C$3)</f>
        <v>0</v>
      </c>
    </row>
    <row r="8" customFormat="false" ht="15" hidden="false" customHeight="true" outlineLevel="0" collapsed="false">
      <c r="A8" s="9" t="s">
        <v>60</v>
      </c>
      <c r="B8" s="10" t="str">
        <f aca="false">IFERROR(AVERAGEIFS(Scoring!I2:I27,Scoring!$D$2:$D$27,$B$3),"")</f>
        <v/>
      </c>
      <c r="C8" s="10" t="str">
        <f aca="false">IFERROR(AVERAGEIFS(Scoring!I2:I27,Scoring!$D$2:$D$27,$C$3),"")</f>
        <v/>
      </c>
    </row>
    <row r="9" customFormat="false" ht="15" hidden="false" customHeight="true" outlineLevel="0" collapsed="false">
      <c r="A9" s="9" t="s">
        <v>61</v>
      </c>
      <c r="B9" s="10" t="str">
        <f aca="false">IFERROR(AVERAGEIFS(Scoring!K2:K27,Scoring!$D$2:$D$27,$B$3),"")</f>
        <v/>
      </c>
      <c r="C9" s="10" t="str">
        <f aca="false">IFERROR(AVERAGEIFS(Scoring!K2:K27,Scoring!$D$2:$D$27,$C$3),"")</f>
        <v/>
      </c>
    </row>
    <row r="10" customFormat="false" ht="15" hidden="false" customHeight="true" outlineLevel="0" collapsed="false">
      <c r="A10" s="9" t="s">
        <v>62</v>
      </c>
      <c r="B10" s="10" t="str">
        <f aca="false">IFERROR(AVERAGEIFS(Scoring!L2:L27,Scoring!$D$2:$D$27,$B$3),"")</f>
        <v/>
      </c>
      <c r="C10" s="10" t="str">
        <f aca="false">IFERROR(AVERAGEIFS(Scoring!L2:L27,Scoring!$D$2:$D$27,$C$3),"")</f>
        <v/>
      </c>
    </row>
    <row r="12" customFormat="false" ht="23.25" hidden="false" customHeight="true" outlineLevel="0" collapsed="false">
      <c r="A12" s="9" t="s">
        <v>63</v>
      </c>
      <c r="B12" s="9" t="str">
        <f aca="false">IF(AND(B4&gt;=4,B5&gt;=4,B6&gt;=4,B8=0,B9&gt;=4),"Model A: PROCEED",IF(AND(C4&gt;=4,C5&gt;=4,C6&gt;=4,C8=0,C9&gt;=4),"Model B: PROCEED","Neither model clears the bar yet — see Legend tab go/no-go guide"))</f>
        <v>Neither model clears the bar yet — see Legend tab go/no-go guide</v>
      </c>
      <c r="C12" s="9"/>
    </row>
  </sheetData>
  <mergeCells count="1">
    <mergeCell ref="B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2026-07-30T11:42:06Z</dcterms:created>
  <dc:creator>openpyxl</dc:creator>
  <dc:description/>
  <dc:language>en-US</dc:language>
  <cp:lastModifiedBy/>
  <dcterms:modified xsi:type="dcterms:W3CDTF">2026-08-01T05:50:23Z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